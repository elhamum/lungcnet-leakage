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y architecture" sheetId="1" state="visible" r:id="rId3"/>
    <sheet name="Summary by arm" sheetId="2" state="visible" r:id="rId4"/>
    <sheet name="Retrieval conditioning" sheetId="3" state="visible" r:id="rId5"/>
    <sheet name="Per-class F1" sheetId="4" state="visible" r:id="rId6"/>
    <sheet name="Control raw runs" sheetId="5" state="visible" r:id="rId7"/>
    <sheet name="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<sst xmlns="http://schemas.openxmlformats.org/spreadsheetml/2006/main" count="160" uniqueCount="83">
  <si>
    <t xml:space="preserve">Accuracy and macro F1 by architecture and split arm</t>
  </si>
  <si>
    <t xml:space="preserve">NLST, 200 participants, 5,810 slices. Mean and SD across 3 seeds. Measured values from data/results_nlst.csv and results_control_knn.csv.</t>
  </si>
  <si>
    <t xml:space="preserve">Method</t>
  </si>
  <si>
    <t xml:space="preserve">Split arm</t>
  </si>
  <si>
    <t xml:space="preserve">Accuracy mean</t>
  </si>
  <si>
    <t xml:space="preserve">Accuracy SD</t>
  </si>
  <si>
    <t xml:space="preserve">Macro F1 mean</t>
  </si>
  <si>
    <t xml:space="preserve">Macro F1 SD</t>
  </si>
  <si>
    <t xml:space="preserve">Macro AUC</t>
  </si>
  <si>
    <t xml:space="preserve">Seeds</t>
  </si>
  <si>
    <t xml:space="preserve">lungcnet</t>
  </si>
  <si>
    <t xml:space="preserve">Slice-level</t>
  </si>
  <si>
    <t xml:space="preserve">Exam-level</t>
  </si>
  <si>
    <t xml:space="preserve">Participant-level</t>
  </si>
  <si>
    <t xml:space="preserve">vgg16</t>
  </si>
  <si>
    <t xml:space="preserve">inceptionv3</t>
  </si>
  <si>
    <t xml:space="preserve">mobilenetv2</t>
  </si>
  <si>
    <t xml:space="preserve">1-NN raw pixels</t>
  </si>
  <si>
    <t xml:space="preserve">The 1-NN control classifies each test slice by the label of its nearest training slice in 32x32 greyscale pixel space. It has no capacity to learn a diagnostic feature; it can only retrieve. Macro AUC is undefined for it.</t>
  </si>
  <si>
    <t xml:space="preserve">Trained models against the retrieval control</t>
  </si>
  <si>
    <t xml:space="preserve">Accuracy in percentage points. CNN mean is the unweighted mean of the four architectures. Derived columns are live formulas.</t>
  </si>
  <si>
    <t xml:space="preserve">CNN mean accuracy</t>
  </si>
  <si>
    <t xml:space="preserve">1-NN accuracy</t>
  </si>
  <si>
    <t xml:space="preserve">Majority baseline</t>
  </si>
  <si>
    <t xml:space="preserve">CNN over baseline</t>
  </si>
  <si>
    <t xml:space="preserve">1-NN over baseline</t>
  </si>
  <si>
    <t xml:space="preserve">NN from same patient</t>
  </si>
  <si>
    <t xml:space="preserve">NN from same exam</t>
  </si>
  <si>
    <t xml:space="preserve">Inflation relative to the participant-level arm</t>
  </si>
  <si>
    <t xml:space="preserve">Comparison</t>
  </si>
  <si>
    <t xml:space="preserve">CNN mean</t>
  </si>
  <si>
    <t xml:space="preserve">1-NN control</t>
  </si>
  <si>
    <t xml:space="preserve">Slice minus participant</t>
  </si>
  <si>
    <t xml:space="preserve">Exam minus participant</t>
  </si>
  <si>
    <t xml:space="preserve">Reading: a classifier that cannot learn reaches 66.90% under slice-level splitting, above three of the four trained networks. Under participant-level splitting it falls below the majority baseline. The apparent performance in the slice arm is retrieval of near-duplicate images, not learned diagnosis.</t>
  </si>
  <si>
    <t xml:space="preserve">Where the retrieved neighbour came from, and whether it was right</t>
  </si>
  <si>
    <t xml:space="preserve">The mechanism behind the inflation, measured directly on the 1-NN control.</t>
  </si>
  <si>
    <t xml:space="preserve">Test slices whose NN is the same patient</t>
  </si>
  <si>
    <t xml:space="preserve">Accuracy when NN is same patient</t>
  </si>
  <si>
    <t xml:space="preserve">Accuracy when NN is another patient</t>
  </si>
  <si>
    <t xml:space="preserve">Same-patient advantage</t>
  </si>
  <si>
    <t xml:space="preserve">none occur</t>
  </si>
  <si>
    <t xml:space="preserve">n/a</t>
  </si>
  <si>
    <t xml:space="preserve">Under slice-level splitting the control is right 93.57% of the time when it retrieves another image of the same person and 38.82% of the time otherwise, which is below the 39.76 baseline. Exam-level splitting removes same-exam retrieval entirely, yet 22.36% of test slices still match a same-participant image from a different screening year. Participant-level splitting removes it by construction.</t>
  </si>
  <si>
    <t xml:space="preserve">Per-class F1 by method and split arm</t>
  </si>
  <si>
    <t xml:space="preserve">The suspicious class is where the honest arms fail. Mean across 3 seeds.</t>
  </si>
  <si>
    <t xml:space="preserve">Benign</t>
  </si>
  <si>
    <t xml:space="preserve">Normal</t>
  </si>
  <si>
    <t xml:space="preserve">Suspicious</t>
  </si>
  <si>
    <t xml:space="preserve">Macro F1</t>
  </si>
  <si>
    <t xml:space="preserve">LungCNET and VGG16 stop predicting the suspicious class altogether under both honest arms, giving F1 of 0.00. The 1-NN control keeps distributing predictions across all three classes and so scores above them on macro F1 in the participant arm. Neither behaviour reflects useful discrimination, and macro F1 rankings within that arm should be treated as uninformative.</t>
  </si>
  <si>
    <t xml:space="preserve">1-NN control, every run</t>
  </si>
  <si>
    <t xml:space="preserve">One row per split arm and seed, as written by src/control_knn.py.</t>
  </si>
  <si>
    <t xml:space="preserve">arm</t>
  </si>
  <si>
    <t xml:space="preserve">seed</t>
  </si>
  <si>
    <t xml:space="preserve">n_train</t>
  </si>
  <si>
    <t xml:space="preserve">n_test</t>
  </si>
  <si>
    <t xml:space="preserve">test_accuracy</t>
  </si>
  <si>
    <t xml:space="preserve">test_macro_f1</t>
  </si>
  <si>
    <t xml:space="preserve">majority_baseline</t>
  </si>
  <si>
    <t xml:space="preserve">above_baseline</t>
  </si>
  <si>
    <t xml:space="preserve">pct_nn_same_patient</t>
  </si>
  <si>
    <t xml:space="preserve">pct_nn_same_exam</t>
  </si>
  <si>
    <t xml:space="preserve">acc_when_nn_same_patient</t>
  </si>
  <si>
    <t xml:space="preserve">acc_when_nn_other_patient</t>
  </si>
  <si>
    <t xml:space="preserve">mean_nn_distance</t>
  </si>
  <si>
    <t xml:space="preserve">Provenance and caveats</t>
  </si>
  <si>
    <t xml:space="preserve">Cohort</t>
  </si>
  <si>
    <t xml:space="preserve">NLST via TCIA. 200 participants, 581 exams, 5,810 PNG slices at 256x256, lung window level -600 width 1500, ten slices per exam from the middle 70% of the smallest OPA reconstruction with at least 100 slices. Stratified sample, seed 20260830.</t>
  </si>
  <si>
    <t xml:space="preserve">Labels</t>
  </si>
  <si>
    <t xml:space="preserve">Derived from the NLST clinical package, scr_res0/1/2 in the prsn table: code 1 normal, codes 2-3 benign, codes 4-6 suspicious. Applied at exam level and inherited by every slice of that exam.</t>
  </si>
  <si>
    <t xml:space="preserve">Split arms</t>
  </si>
  <si>
    <t xml:space="preserve">Slice-level keeps each image as its own group. Exam-level keeps a screening exam intact. Participant-level keeps all images of a participant intact. 70/10/20 train/val/test, partition sizes matched across arms.</t>
  </si>
  <si>
    <t xml:space="preserve">CNN runs</t>
  </si>
  <si>
    <t xml:space="preserve">36 runs: 4 architectures x 3 arms x 3 seeds, all completed 31 Aug to 3 Sep 2026. Hyperparameters carried over unchanged from the published LungCNET paper so that differences between arms cannot be attributed to retuning.</t>
  </si>
  <si>
    <t xml:space="preserve">Control runs</t>
  </si>
  <si>
    <t xml:space="preserve">9 runs: 3 arms x 3 seeds, 19 Oct 2026, on the same frozen splits. CPU only. 1-nearest-neighbour, Euclidean distance on 32x32 greyscale pixels scaled to [0,1].</t>
  </si>
  <si>
    <t xml:space="preserve">Known caveat</t>
  </si>
  <si>
    <t xml:space="preserve">The control uses 32x32 greyscale while the networks use 256x256 RGB. The comparison is not a fair contest between classifiers and is not meant to be. Its purpose is to show that slice-arm accuracy is attainable without learning, so that accuracy cannot be read as evidence of learned diagnostic ability.</t>
  </si>
  <si>
    <t xml:space="preserve">Exam-level label inheritance means slices showing no abnormality still carry their exam's screening code. This caps achievable performance and is part of why the participant arm sits close to baseline.</t>
  </si>
  <si>
    <t xml:space="preserve">Twelve rows of results_nlst.csv have an empty majority_baseline field, a consequence of a mid-campaign schema change patched by hand in the Colab notebook. All tables here recompute the baseline from the stored confusion matrices, so no figure depends on that field.</t>
  </si>
  <si>
    <t xml:space="preserve">Source files</t>
  </si>
  <si>
    <t xml:space="preserve">data/results_nlst.csv and data/results_control_knn.csv in github.com/elhamum/lungcnet-leakage</t>
  </si>
</sst>
</file>

<file path=xl/styles.xml><?xml version="1.0" encoding="utf-8"?>
<styleSheet xmlns="http://schemas.openxmlformats.org/spreadsheetml/2006/main">
  <numFmts count="5">
    <numFmt numFmtId="164" formatCode="General"/>
    <numFmt numFmtId="165" formatCode="0.00"/>
    <numFmt numFmtId="166" formatCode="0.000"/>
    <numFmt numFmtId="167" formatCode="0"/>
    <numFmt numFmtId="168"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DF1F7"/>
        <bgColor rgb="FFFFFFFF"/>
      </patternFill>
    </fill>
    <fill>
      <patternFill patternType="solid">
        <fgColor rgb="FFFFF2CC"/>
        <bgColor rgb="FFEDF1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F1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15"/>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7" min="7" style="0" width="12"/>
    <col collapsed="false" customWidth="true" hidden="false" outlineLevel="0" max="8" min="8" style="0" width="8"/>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4" t="s">
        <v>11</v>
      </c>
      <c r="C5" s="5" t="n">
        <v>64.6</v>
      </c>
      <c r="D5" s="5" t="n">
        <v>1.16</v>
      </c>
      <c r="E5" s="5" t="n">
        <v>62.56</v>
      </c>
      <c r="F5" s="5" t="n">
        <v>0.97</v>
      </c>
      <c r="G5" s="6" t="n">
        <v>0.8209</v>
      </c>
      <c r="H5" s="7" t="n">
        <v>3</v>
      </c>
    </row>
    <row r="6" customFormat="false" ht="15" hidden="false" customHeight="false" outlineLevel="0" collapsed="false">
      <c r="A6" s="4" t="s">
        <v>10</v>
      </c>
      <c r="B6" s="4" t="s">
        <v>12</v>
      </c>
      <c r="C6" s="5" t="n">
        <v>48.04</v>
      </c>
      <c r="D6" s="5" t="n">
        <v>1.21</v>
      </c>
      <c r="E6" s="5" t="n">
        <v>35.49</v>
      </c>
      <c r="F6" s="5" t="n">
        <v>1.19</v>
      </c>
      <c r="G6" s="6" t="n">
        <v>0.5878</v>
      </c>
      <c r="H6" s="7" t="n">
        <v>3</v>
      </c>
    </row>
    <row r="7" customFormat="false" ht="15" hidden="false" customHeight="false" outlineLevel="0" collapsed="false">
      <c r="A7" s="4" t="s">
        <v>10</v>
      </c>
      <c r="B7" s="4" t="s">
        <v>13</v>
      </c>
      <c r="C7" s="5" t="n">
        <v>41.37</v>
      </c>
      <c r="D7" s="5" t="n">
        <v>2.23</v>
      </c>
      <c r="E7" s="5" t="n">
        <v>30.32</v>
      </c>
      <c r="F7" s="5" t="n">
        <v>1.87</v>
      </c>
      <c r="G7" s="6" t="n">
        <v>0.4782</v>
      </c>
      <c r="H7" s="7" t="n">
        <v>3</v>
      </c>
    </row>
    <row r="8" customFormat="false" ht="15" hidden="false" customHeight="false" outlineLevel="0" collapsed="false">
      <c r="A8" s="8" t="s">
        <v>14</v>
      </c>
      <c r="B8" s="8" t="s">
        <v>11</v>
      </c>
      <c r="C8" s="9" t="n">
        <v>76.74</v>
      </c>
      <c r="D8" s="9" t="n">
        <v>2.51</v>
      </c>
      <c r="E8" s="9" t="n">
        <v>75.61</v>
      </c>
      <c r="F8" s="9" t="n">
        <v>2.68</v>
      </c>
      <c r="G8" s="10" t="n">
        <v>0.914</v>
      </c>
      <c r="H8" s="11" t="n">
        <v>3</v>
      </c>
    </row>
    <row r="9" customFormat="false" ht="15" hidden="false" customHeight="false" outlineLevel="0" collapsed="false">
      <c r="A9" s="8" t="s">
        <v>14</v>
      </c>
      <c r="B9" s="8" t="s">
        <v>12</v>
      </c>
      <c r="C9" s="9" t="n">
        <v>48.65</v>
      </c>
      <c r="D9" s="9" t="n">
        <v>0.88</v>
      </c>
      <c r="E9" s="9" t="n">
        <v>36.46</v>
      </c>
      <c r="F9" s="9" t="n">
        <v>0.47</v>
      </c>
      <c r="G9" s="10" t="n">
        <v>0.6292</v>
      </c>
      <c r="H9" s="11" t="n">
        <v>3</v>
      </c>
    </row>
    <row r="10" customFormat="false" ht="15" hidden="false" customHeight="false" outlineLevel="0" collapsed="false">
      <c r="A10" s="8" t="s">
        <v>14</v>
      </c>
      <c r="B10" s="8" t="s">
        <v>13</v>
      </c>
      <c r="C10" s="9" t="n">
        <v>43.74</v>
      </c>
      <c r="D10" s="9" t="n">
        <v>3.41</v>
      </c>
      <c r="E10" s="9" t="n">
        <v>31.75</v>
      </c>
      <c r="F10" s="9" t="n">
        <v>2.03</v>
      </c>
      <c r="G10" s="10" t="n">
        <v>0.5436</v>
      </c>
      <c r="H10" s="11" t="n">
        <v>3</v>
      </c>
    </row>
    <row r="11" customFormat="false" ht="15" hidden="false" customHeight="false" outlineLevel="0" collapsed="false">
      <c r="A11" s="4" t="s">
        <v>15</v>
      </c>
      <c r="B11" s="4" t="s">
        <v>11</v>
      </c>
      <c r="C11" s="5" t="n">
        <v>59.41</v>
      </c>
      <c r="D11" s="5" t="n">
        <v>0.05</v>
      </c>
      <c r="E11" s="5" t="n">
        <v>56.56</v>
      </c>
      <c r="F11" s="5" t="n">
        <v>0.32</v>
      </c>
      <c r="G11" s="6" t="n">
        <v>0.7655</v>
      </c>
      <c r="H11" s="7" t="n">
        <v>3</v>
      </c>
    </row>
    <row r="12" customFormat="false" ht="15" hidden="false" customHeight="false" outlineLevel="0" collapsed="false">
      <c r="A12" s="4" t="s">
        <v>15</v>
      </c>
      <c r="B12" s="4" t="s">
        <v>12</v>
      </c>
      <c r="C12" s="5" t="n">
        <v>49.54</v>
      </c>
      <c r="D12" s="5" t="n">
        <v>2.5</v>
      </c>
      <c r="E12" s="5" t="n">
        <v>44.57</v>
      </c>
      <c r="F12" s="5" t="n">
        <v>2.81</v>
      </c>
      <c r="G12" s="6" t="n">
        <v>0.6554</v>
      </c>
      <c r="H12" s="7" t="n">
        <v>3</v>
      </c>
    </row>
    <row r="13" customFormat="false" ht="15" hidden="false" customHeight="false" outlineLevel="0" collapsed="false">
      <c r="A13" s="4" t="s">
        <v>15</v>
      </c>
      <c r="B13" s="4" t="s">
        <v>13</v>
      </c>
      <c r="C13" s="5" t="n">
        <v>42.49</v>
      </c>
      <c r="D13" s="5" t="n">
        <v>2.74</v>
      </c>
      <c r="E13" s="5" t="n">
        <v>33.29</v>
      </c>
      <c r="F13" s="5" t="n">
        <v>3.49</v>
      </c>
      <c r="G13" s="6" t="n">
        <v>0.56</v>
      </c>
      <c r="H13" s="7" t="n">
        <v>3</v>
      </c>
    </row>
    <row r="14" customFormat="false" ht="15" hidden="false" customHeight="false" outlineLevel="0" collapsed="false">
      <c r="A14" s="8" t="s">
        <v>16</v>
      </c>
      <c r="B14" s="8" t="s">
        <v>11</v>
      </c>
      <c r="C14" s="9" t="n">
        <v>57.98</v>
      </c>
      <c r="D14" s="9" t="n">
        <v>18.16</v>
      </c>
      <c r="E14" s="9" t="n">
        <v>54.09</v>
      </c>
      <c r="F14" s="9" t="n">
        <v>20.19</v>
      </c>
      <c r="G14" s="10" t="n">
        <v>0.7746</v>
      </c>
      <c r="H14" s="11" t="n">
        <v>3</v>
      </c>
    </row>
    <row r="15" customFormat="false" ht="15" hidden="false" customHeight="false" outlineLevel="0" collapsed="false">
      <c r="A15" s="8" t="s">
        <v>16</v>
      </c>
      <c r="B15" s="8" t="s">
        <v>12</v>
      </c>
      <c r="C15" s="9" t="n">
        <v>50.12</v>
      </c>
      <c r="D15" s="9" t="n">
        <v>1.99</v>
      </c>
      <c r="E15" s="9" t="n">
        <v>41.04</v>
      </c>
      <c r="F15" s="9" t="n">
        <v>5.68</v>
      </c>
      <c r="G15" s="10" t="n">
        <v>0.6489</v>
      </c>
      <c r="H15" s="11" t="n">
        <v>3</v>
      </c>
    </row>
    <row r="16" customFormat="false" ht="15" hidden="false" customHeight="false" outlineLevel="0" collapsed="false">
      <c r="A16" s="8" t="s">
        <v>16</v>
      </c>
      <c r="B16" s="8" t="s">
        <v>13</v>
      </c>
      <c r="C16" s="9" t="n">
        <v>41.93</v>
      </c>
      <c r="D16" s="9" t="n">
        <v>6.33</v>
      </c>
      <c r="E16" s="9" t="n">
        <v>35.47</v>
      </c>
      <c r="F16" s="9" t="n">
        <v>3.35</v>
      </c>
      <c r="G16" s="10" t="n">
        <v>0.5531</v>
      </c>
      <c r="H16" s="11" t="n">
        <v>3</v>
      </c>
    </row>
    <row r="17" customFormat="false" ht="15" hidden="false" customHeight="false" outlineLevel="0" collapsed="false">
      <c r="A17" s="12" t="s">
        <v>17</v>
      </c>
      <c r="B17" s="12" t="s">
        <v>11</v>
      </c>
      <c r="C17" s="13" t="n">
        <v>66.9</v>
      </c>
      <c r="D17" s="13" t="n">
        <v>1.06</v>
      </c>
      <c r="E17" s="13" t="n">
        <v>65.56</v>
      </c>
      <c r="F17" s="13" t="n">
        <v>1.16</v>
      </c>
      <c r="G17" s="14"/>
      <c r="H17" s="15" t="n">
        <v>3</v>
      </c>
    </row>
    <row r="18" customFormat="false" ht="15" hidden="false" customHeight="false" outlineLevel="0" collapsed="false">
      <c r="A18" s="12" t="s">
        <v>17</v>
      </c>
      <c r="B18" s="12" t="s">
        <v>12</v>
      </c>
      <c r="C18" s="13" t="n">
        <v>47.33</v>
      </c>
      <c r="D18" s="13" t="n">
        <v>2.02</v>
      </c>
      <c r="E18" s="13" t="n">
        <v>45.33</v>
      </c>
      <c r="F18" s="13" t="n">
        <v>1.5</v>
      </c>
      <c r="G18" s="14"/>
      <c r="H18" s="15" t="n">
        <v>3</v>
      </c>
    </row>
    <row r="19" customFormat="false" ht="15" hidden="false" customHeight="false" outlineLevel="0" collapsed="false">
      <c r="A19" s="12" t="s">
        <v>17</v>
      </c>
      <c r="B19" s="12" t="s">
        <v>13</v>
      </c>
      <c r="C19" s="13" t="n">
        <v>38.01</v>
      </c>
      <c r="D19" s="13" t="n">
        <v>0.49</v>
      </c>
      <c r="E19" s="13" t="n">
        <v>35.07</v>
      </c>
      <c r="F19" s="13" t="n">
        <v>0.51</v>
      </c>
      <c r="G19" s="14"/>
      <c r="H19" s="15" t="n">
        <v>3</v>
      </c>
    </row>
    <row r="21" customFormat="false" ht="15" hidden="false" customHeight="true" outlineLevel="0" collapsed="false">
      <c r="A21" s="16" t="s">
        <v>18</v>
      </c>
      <c r="B21" s="16"/>
      <c r="C21" s="16"/>
      <c r="D21" s="16"/>
      <c r="E21" s="16"/>
      <c r="F21" s="16"/>
      <c r="G21" s="16"/>
      <c r="H21" s="16"/>
    </row>
    <row r="22" customFormat="false" ht="15" hidden="false" customHeight="false" outlineLevel="0" collapsed="false">
      <c r="A22" s="16"/>
      <c r="B22" s="16"/>
      <c r="C22" s="16"/>
      <c r="D22" s="16"/>
      <c r="E22" s="16"/>
      <c r="F22" s="16"/>
      <c r="G22" s="16"/>
      <c r="H22" s="16"/>
    </row>
  </sheetData>
  <mergeCells count="3">
    <mergeCell ref="A1:H1"/>
    <mergeCell ref="A2:H2"/>
    <mergeCell ref="A21: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15"/>
    <col collapsed="false" customWidth="true" hidden="false" outlineLevel="0" max="6" min="4" style="0" width="17"/>
    <col collapsed="false" customWidth="true" hidden="false" outlineLevel="0" max="7" min="7" style="0" width="19"/>
    <col collapsed="false" customWidth="true" hidden="false" outlineLevel="0" max="8" min="8" style="0" width="18"/>
  </cols>
  <sheetData>
    <row r="1" customFormat="false" ht="17.35" hidden="false" customHeight="false" outlineLevel="0" collapsed="false">
      <c r="A1" s="1" t="s">
        <v>19</v>
      </c>
      <c r="B1" s="1"/>
      <c r="C1" s="1"/>
      <c r="D1" s="1"/>
      <c r="E1" s="1"/>
      <c r="F1" s="1"/>
      <c r="G1" s="1"/>
      <c r="H1" s="1"/>
    </row>
    <row r="2" customFormat="false" ht="15" hidden="false" customHeight="false" outlineLevel="0" collapsed="false">
      <c r="A2" s="2" t="s">
        <v>20</v>
      </c>
      <c r="B2" s="2"/>
      <c r="C2" s="2"/>
      <c r="D2" s="2"/>
      <c r="E2" s="2"/>
      <c r="F2" s="2"/>
      <c r="G2" s="2"/>
      <c r="H2" s="2"/>
    </row>
    <row r="4" customFormat="false" ht="15" hidden="false" customHeight="false" outlineLevel="0" collapsed="false">
      <c r="A4" s="3" t="s">
        <v>3</v>
      </c>
      <c r="B4" s="3" t="s">
        <v>21</v>
      </c>
      <c r="C4" s="3" t="s">
        <v>22</v>
      </c>
      <c r="D4" s="3" t="s">
        <v>23</v>
      </c>
      <c r="E4" s="3" t="s">
        <v>24</v>
      </c>
      <c r="F4" s="3" t="s">
        <v>25</v>
      </c>
      <c r="G4" s="3" t="s">
        <v>26</v>
      </c>
      <c r="H4" s="3" t="s">
        <v>27</v>
      </c>
    </row>
    <row r="5" customFormat="false" ht="15" hidden="false" customHeight="false" outlineLevel="0" collapsed="false">
      <c r="A5" s="4" t="s">
        <v>11</v>
      </c>
      <c r="B5" s="5" t="n">
        <f aca="false">AVERAGE('By architecture'!$C$5,'By architecture'!$C$8,'By architecture'!$C$11,'By architecture'!$C$14)</f>
        <v>64.6825</v>
      </c>
      <c r="C5" s="5" t="n">
        <f aca="false">'By architecture'!$C$17</f>
        <v>66.9</v>
      </c>
      <c r="D5" s="9" t="n">
        <v>39.76</v>
      </c>
      <c r="E5" s="5" t="n">
        <f aca="false">B5-D5</f>
        <v>24.9225</v>
      </c>
      <c r="F5" s="5" t="n">
        <f aca="false">C5-D5</f>
        <v>27.14</v>
      </c>
      <c r="G5" s="17" t="n">
        <v>51.29</v>
      </c>
      <c r="H5" s="17" t="n">
        <v>33.7</v>
      </c>
    </row>
    <row r="6" customFormat="false" ht="15" hidden="false" customHeight="false" outlineLevel="0" collapsed="false">
      <c r="A6" s="4" t="s">
        <v>12</v>
      </c>
      <c r="B6" s="5" t="n">
        <f aca="false">AVERAGE('By architecture'!$C$6,'By architecture'!$C$9,'By architecture'!$C$12,'By architecture'!$C$15)</f>
        <v>49.0875</v>
      </c>
      <c r="C6" s="5" t="n">
        <f aca="false">'By architecture'!$C$18</f>
        <v>47.33</v>
      </c>
      <c r="D6" s="9" t="n">
        <v>39.66</v>
      </c>
      <c r="E6" s="5" t="n">
        <f aca="false">B6-D6</f>
        <v>9.4275</v>
      </c>
      <c r="F6" s="5" t="n">
        <f aca="false">C6-D6</f>
        <v>7.67</v>
      </c>
      <c r="G6" s="17" t="n">
        <v>22.36</v>
      </c>
      <c r="H6" s="17" t="n">
        <v>0</v>
      </c>
    </row>
    <row r="7" customFormat="false" ht="15" hidden="false" customHeight="false" outlineLevel="0" collapsed="false">
      <c r="A7" s="4" t="s">
        <v>13</v>
      </c>
      <c r="B7" s="5" t="n">
        <f aca="false">AVERAGE('By architecture'!$C$7,'By architecture'!$C$10,'By architecture'!$C$13,'By architecture'!$C$16)</f>
        <v>42.3825</v>
      </c>
      <c r="C7" s="5" t="n">
        <f aca="false">'By architecture'!$C$19</f>
        <v>38.01</v>
      </c>
      <c r="D7" s="9" t="n">
        <v>39.77</v>
      </c>
      <c r="E7" s="5" t="n">
        <f aca="false">B7-D7</f>
        <v>2.6125</v>
      </c>
      <c r="F7" s="5" t="n">
        <f aca="false">C7-D7</f>
        <v>-1.76000000000001</v>
      </c>
      <c r="G7" s="17" t="n">
        <v>0</v>
      </c>
      <c r="H7" s="17" t="n">
        <v>0</v>
      </c>
    </row>
    <row r="9" customFormat="false" ht="15" hidden="false" customHeight="false" outlineLevel="0" collapsed="false">
      <c r="A9" s="18" t="s">
        <v>28</v>
      </c>
    </row>
    <row r="10" customFormat="false" ht="15" hidden="false" customHeight="false" outlineLevel="0" collapsed="false">
      <c r="A10" s="3" t="s">
        <v>29</v>
      </c>
      <c r="B10" s="3" t="s">
        <v>30</v>
      </c>
      <c r="C10" s="3" t="s">
        <v>31</v>
      </c>
      <c r="D10" s="3"/>
      <c r="E10" s="3"/>
      <c r="F10" s="3"/>
      <c r="G10" s="3"/>
      <c r="H10" s="3"/>
    </row>
    <row r="11" customFormat="false" ht="15" hidden="false" customHeight="false" outlineLevel="0" collapsed="false">
      <c r="A11" s="4" t="s">
        <v>32</v>
      </c>
      <c r="B11" s="5" t="n">
        <f aca="false">B5-B7</f>
        <v>22.3</v>
      </c>
      <c r="C11" s="5" t="n">
        <f aca="false">C5-C7</f>
        <v>28.89</v>
      </c>
    </row>
    <row r="12" customFormat="false" ht="15" hidden="false" customHeight="false" outlineLevel="0" collapsed="false">
      <c r="A12" s="4" t="s">
        <v>33</v>
      </c>
      <c r="B12" s="5" t="n">
        <f aca="false">B6-B7</f>
        <v>6.705</v>
      </c>
      <c r="C12" s="5" t="n">
        <f aca="false">C6-C7</f>
        <v>9.32</v>
      </c>
    </row>
    <row r="14" customFormat="false" ht="15" hidden="false" customHeight="true" outlineLevel="0" collapsed="false">
      <c r="A14" s="16" t="s">
        <v>34</v>
      </c>
      <c r="B14" s="16"/>
      <c r="C14" s="16"/>
      <c r="D14" s="16"/>
      <c r="E14" s="16"/>
      <c r="F14" s="16"/>
      <c r="G14" s="16"/>
      <c r="H14" s="16"/>
    </row>
    <row r="15" customFormat="false" ht="15" hidden="false" customHeight="false" outlineLevel="0" collapsed="false">
      <c r="A15" s="16"/>
      <c r="B15" s="16"/>
      <c r="C15" s="16"/>
      <c r="D15" s="16"/>
      <c r="E15" s="16"/>
      <c r="F15" s="16"/>
      <c r="G15" s="16"/>
      <c r="H15" s="16"/>
    </row>
    <row r="16" customFormat="false" ht="15" hidden="false" customHeight="false" outlineLevel="0" collapsed="false">
      <c r="A16" s="16"/>
      <c r="B16" s="16"/>
      <c r="C16" s="16"/>
      <c r="D16" s="16"/>
      <c r="E16" s="16"/>
      <c r="F16" s="16"/>
      <c r="G16" s="16"/>
      <c r="H16" s="16"/>
    </row>
  </sheetData>
  <mergeCells count="3">
    <mergeCell ref="A1:H1"/>
    <mergeCell ref="A2:H2"/>
    <mergeCell ref="A14: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22"/>
    <col collapsed="false" customWidth="true" hidden="false" outlineLevel="0" max="4" min="4" style="0" width="24"/>
    <col collapsed="false" customWidth="true" hidden="false" outlineLevel="0" max="5" min="5" style="0" width="17"/>
    <col collapsed="false" customWidth="true" hidden="false" outlineLevel="0" max="6" min="6" style="0" width="20"/>
  </cols>
  <sheetData>
    <row r="1" customFormat="false" ht="17.35" hidden="false" customHeight="false" outlineLevel="0" collapsed="false">
      <c r="A1" s="1" t="s">
        <v>35</v>
      </c>
      <c r="B1" s="1"/>
      <c r="C1" s="1"/>
      <c r="D1" s="1"/>
      <c r="E1" s="1"/>
      <c r="F1" s="1"/>
    </row>
    <row r="2" customFormat="false" ht="15" hidden="false" customHeight="false" outlineLevel="0" collapsed="false">
      <c r="A2" s="2" t="s">
        <v>36</v>
      </c>
      <c r="B2" s="2"/>
      <c r="C2" s="2"/>
      <c r="D2" s="2"/>
      <c r="E2" s="2"/>
      <c r="F2" s="2"/>
    </row>
    <row r="4" customFormat="false" ht="15" hidden="false" customHeight="false" outlineLevel="0" collapsed="false">
      <c r="A4" s="3" t="s">
        <v>3</v>
      </c>
      <c r="B4" s="3" t="s">
        <v>37</v>
      </c>
      <c r="C4" s="3" t="s">
        <v>38</v>
      </c>
      <c r="D4" s="3" t="s">
        <v>39</v>
      </c>
      <c r="E4" s="3" t="s">
        <v>23</v>
      </c>
      <c r="F4" s="3" t="s">
        <v>40</v>
      </c>
    </row>
    <row r="5" customFormat="false" ht="15" hidden="false" customHeight="false" outlineLevel="0" collapsed="false">
      <c r="A5" s="4" t="s">
        <v>11</v>
      </c>
      <c r="B5" s="17" t="n">
        <v>51.29</v>
      </c>
      <c r="C5" s="13" t="n">
        <v>93.57</v>
      </c>
      <c r="D5" s="5" t="n">
        <v>38.82</v>
      </c>
      <c r="E5" s="9" t="n">
        <v>39.76</v>
      </c>
      <c r="F5" s="5" t="n">
        <f aca="false">C5-D5</f>
        <v>54.75</v>
      </c>
    </row>
    <row r="6" customFormat="false" ht="15" hidden="false" customHeight="false" outlineLevel="0" collapsed="false">
      <c r="A6" s="4" t="s">
        <v>12</v>
      </c>
      <c r="B6" s="17" t="n">
        <v>22.36</v>
      </c>
      <c r="C6" s="13" t="n">
        <v>80.3</v>
      </c>
      <c r="D6" s="5" t="n">
        <v>37.87</v>
      </c>
      <c r="E6" s="9" t="n">
        <v>39.66</v>
      </c>
      <c r="F6" s="5" t="n">
        <f aca="false">C6-D6</f>
        <v>42.43</v>
      </c>
    </row>
    <row r="7" customFormat="false" ht="15" hidden="false" customHeight="false" outlineLevel="0" collapsed="false">
      <c r="A7" s="4" t="s">
        <v>13</v>
      </c>
      <c r="B7" s="17" t="n">
        <v>0</v>
      </c>
      <c r="C7" s="19" t="s">
        <v>41</v>
      </c>
      <c r="D7" s="5" t="n">
        <v>38.01</v>
      </c>
      <c r="E7" s="9" t="n">
        <v>39.77</v>
      </c>
      <c r="F7" s="19" t="s">
        <v>42</v>
      </c>
    </row>
    <row r="9" customFormat="false" ht="15" hidden="false" customHeight="true" outlineLevel="0" collapsed="false">
      <c r="A9" s="16" t="s">
        <v>43</v>
      </c>
      <c r="B9" s="16"/>
      <c r="C9" s="16"/>
      <c r="D9" s="16"/>
      <c r="E9" s="16"/>
      <c r="F9" s="16"/>
    </row>
    <row r="10" customFormat="false" ht="15" hidden="false" customHeight="false" outlineLevel="0" collapsed="false">
      <c r="A10" s="16"/>
      <c r="B10" s="16"/>
      <c r="C10" s="16"/>
      <c r="D10" s="16"/>
      <c r="E10" s="16"/>
      <c r="F10" s="16"/>
    </row>
    <row r="11" customFormat="false" ht="15" hidden="false" customHeight="false" outlineLevel="0" collapsed="false">
      <c r="A11" s="16"/>
      <c r="B11" s="16"/>
      <c r="C11" s="16"/>
      <c r="D11" s="16"/>
      <c r="E11" s="16"/>
      <c r="F11" s="16"/>
    </row>
    <row r="12" customFormat="false" ht="15" hidden="false" customHeight="false" outlineLevel="0" collapsed="false">
      <c r="A12" s="16"/>
      <c r="B12" s="16"/>
      <c r="C12" s="16"/>
      <c r="D12" s="16"/>
      <c r="E12" s="16"/>
      <c r="F12" s="16"/>
    </row>
  </sheetData>
  <mergeCells count="3">
    <mergeCell ref="A1:F1"/>
    <mergeCell ref="A2:F2"/>
    <mergeCell ref="A9: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4" min="3" style="0" width="12"/>
    <col collapsed="false" customWidth="true" hidden="false" outlineLevel="0" max="5" min="5" style="0" width="13"/>
    <col collapsed="false" customWidth="true" hidden="false" outlineLevel="0" max="6" min="6" style="0" width="12"/>
  </cols>
  <sheetData>
    <row r="1" customFormat="false" ht="17.35" hidden="false" customHeight="false" outlineLevel="0" collapsed="false">
      <c r="A1" s="1" t="s">
        <v>44</v>
      </c>
      <c r="B1" s="1"/>
      <c r="C1" s="1"/>
      <c r="D1" s="1"/>
      <c r="E1" s="1"/>
      <c r="F1" s="1"/>
    </row>
    <row r="2" customFormat="false" ht="15" hidden="false" customHeight="false" outlineLevel="0" collapsed="false">
      <c r="A2" s="2" t="s">
        <v>45</v>
      </c>
      <c r="B2" s="2"/>
      <c r="C2" s="2"/>
      <c r="D2" s="2"/>
      <c r="E2" s="2"/>
      <c r="F2" s="2"/>
    </row>
    <row r="4" customFormat="false" ht="15" hidden="false" customHeight="false" outlineLevel="0" collapsed="false">
      <c r="A4" s="3" t="s">
        <v>2</v>
      </c>
      <c r="B4" s="3" t="s">
        <v>3</v>
      </c>
      <c r="C4" s="3" t="s">
        <v>46</v>
      </c>
      <c r="D4" s="3" t="s">
        <v>47</v>
      </c>
      <c r="E4" s="3" t="s">
        <v>48</v>
      </c>
      <c r="F4" s="3" t="s">
        <v>49</v>
      </c>
    </row>
    <row r="5" customFormat="false" ht="15" hidden="false" customHeight="false" outlineLevel="0" collapsed="false">
      <c r="A5" s="4" t="s">
        <v>10</v>
      </c>
      <c r="B5" s="4" t="s">
        <v>11</v>
      </c>
      <c r="C5" s="5" t="n">
        <v>66.72</v>
      </c>
      <c r="D5" s="5" t="n">
        <v>68.35</v>
      </c>
      <c r="E5" s="5" t="n">
        <v>52.61</v>
      </c>
      <c r="F5" s="5" t="n">
        <f aca="false">'By architecture'!$E$5</f>
        <v>62.56</v>
      </c>
    </row>
    <row r="6" customFormat="false" ht="15" hidden="false" customHeight="false" outlineLevel="0" collapsed="false">
      <c r="A6" s="4" t="s">
        <v>10</v>
      </c>
      <c r="B6" s="4" t="s">
        <v>12</v>
      </c>
      <c r="C6" s="5" t="n">
        <v>57.11</v>
      </c>
      <c r="D6" s="5" t="n">
        <v>49.37</v>
      </c>
      <c r="E6" s="5" t="n">
        <v>0</v>
      </c>
      <c r="F6" s="5" t="n">
        <f aca="false">'By architecture'!$E$6</f>
        <v>35.49</v>
      </c>
    </row>
    <row r="7" customFormat="false" ht="15" hidden="false" customHeight="false" outlineLevel="0" collapsed="false">
      <c r="A7" s="4" t="s">
        <v>10</v>
      </c>
      <c r="B7" s="4" t="s">
        <v>13</v>
      </c>
      <c r="C7" s="5" t="n">
        <v>50.77</v>
      </c>
      <c r="D7" s="5" t="n">
        <v>40.2</v>
      </c>
      <c r="E7" s="5" t="n">
        <v>0</v>
      </c>
      <c r="F7" s="5" t="n">
        <f aca="false">'By architecture'!$E$7</f>
        <v>30.32</v>
      </c>
    </row>
    <row r="8" customFormat="false" ht="15" hidden="false" customHeight="false" outlineLevel="0" collapsed="false">
      <c r="A8" s="8" t="s">
        <v>14</v>
      </c>
      <c r="B8" s="8" t="s">
        <v>11</v>
      </c>
      <c r="C8" s="9" t="n">
        <v>76.33</v>
      </c>
      <c r="D8" s="9" t="n">
        <v>82</v>
      </c>
      <c r="E8" s="9" t="n">
        <v>68.49</v>
      </c>
      <c r="F8" s="9" t="n">
        <f aca="false">'By architecture'!$E$8</f>
        <v>75.61</v>
      </c>
    </row>
    <row r="9" customFormat="false" ht="15" hidden="false" customHeight="false" outlineLevel="0" collapsed="false">
      <c r="A9" s="8" t="s">
        <v>14</v>
      </c>
      <c r="B9" s="8" t="s">
        <v>12</v>
      </c>
      <c r="C9" s="9" t="n">
        <v>54.4</v>
      </c>
      <c r="D9" s="9" t="n">
        <v>54.18</v>
      </c>
      <c r="E9" s="9" t="n">
        <v>0.79</v>
      </c>
      <c r="F9" s="9" t="n">
        <f aca="false">'By architecture'!$E$9</f>
        <v>36.46</v>
      </c>
    </row>
    <row r="10" customFormat="false" ht="15" hidden="false" customHeight="false" outlineLevel="0" collapsed="false">
      <c r="A10" s="8" t="s">
        <v>14</v>
      </c>
      <c r="B10" s="8" t="s">
        <v>13</v>
      </c>
      <c r="C10" s="9" t="n">
        <v>52.04</v>
      </c>
      <c r="D10" s="9" t="n">
        <v>43.23</v>
      </c>
      <c r="E10" s="9" t="n">
        <v>0</v>
      </c>
      <c r="F10" s="9" t="n">
        <f aca="false">'By architecture'!$E$10</f>
        <v>31.75</v>
      </c>
    </row>
    <row r="11" customFormat="false" ht="15" hidden="false" customHeight="false" outlineLevel="0" collapsed="false">
      <c r="A11" s="4" t="s">
        <v>15</v>
      </c>
      <c r="B11" s="4" t="s">
        <v>11</v>
      </c>
      <c r="C11" s="5" t="n">
        <v>59.49</v>
      </c>
      <c r="D11" s="5" t="n">
        <v>66.6</v>
      </c>
      <c r="E11" s="5" t="n">
        <v>43.6</v>
      </c>
      <c r="F11" s="5" t="n">
        <f aca="false">'By architecture'!$E$11</f>
        <v>56.56</v>
      </c>
    </row>
    <row r="12" customFormat="false" ht="15" hidden="false" customHeight="false" outlineLevel="0" collapsed="false">
      <c r="A12" s="4" t="s">
        <v>15</v>
      </c>
      <c r="B12" s="4" t="s">
        <v>12</v>
      </c>
      <c r="C12" s="5" t="n">
        <v>55.74</v>
      </c>
      <c r="D12" s="5" t="n">
        <v>51.84</v>
      </c>
      <c r="E12" s="5" t="n">
        <v>26.13</v>
      </c>
      <c r="F12" s="5" t="n">
        <f aca="false">'By architecture'!$E$12</f>
        <v>44.57</v>
      </c>
    </row>
    <row r="13" customFormat="false" ht="15" hidden="false" customHeight="false" outlineLevel="0" collapsed="false">
      <c r="A13" s="4" t="s">
        <v>15</v>
      </c>
      <c r="B13" s="4" t="s">
        <v>13</v>
      </c>
      <c r="C13" s="5" t="n">
        <v>48.74</v>
      </c>
      <c r="D13" s="5" t="n">
        <v>44.28</v>
      </c>
      <c r="E13" s="5" t="n">
        <v>6.85</v>
      </c>
      <c r="F13" s="5" t="n">
        <f aca="false">'By architecture'!$E$13</f>
        <v>33.29</v>
      </c>
    </row>
    <row r="14" customFormat="false" ht="15" hidden="false" customHeight="false" outlineLevel="0" collapsed="false">
      <c r="A14" s="8" t="s">
        <v>16</v>
      </c>
      <c r="B14" s="8" t="s">
        <v>11</v>
      </c>
      <c r="C14" s="9" t="n">
        <v>65.42</v>
      </c>
      <c r="D14" s="9" t="n">
        <v>50.41</v>
      </c>
      <c r="E14" s="9" t="n">
        <v>46.44</v>
      </c>
      <c r="F14" s="9" t="n">
        <f aca="false">'By architecture'!$E$14</f>
        <v>54.09</v>
      </c>
    </row>
    <row r="15" customFormat="false" ht="15" hidden="false" customHeight="false" outlineLevel="0" collapsed="false">
      <c r="A15" s="8" t="s">
        <v>16</v>
      </c>
      <c r="B15" s="8" t="s">
        <v>12</v>
      </c>
      <c r="C15" s="9" t="n">
        <v>56.75</v>
      </c>
      <c r="D15" s="9" t="n">
        <v>53.35</v>
      </c>
      <c r="E15" s="9" t="n">
        <v>13.03</v>
      </c>
      <c r="F15" s="9" t="n">
        <f aca="false">'By architecture'!$E$15</f>
        <v>41.04</v>
      </c>
    </row>
    <row r="16" customFormat="false" ht="15" hidden="false" customHeight="false" outlineLevel="0" collapsed="false">
      <c r="A16" s="8" t="s">
        <v>16</v>
      </c>
      <c r="B16" s="8" t="s">
        <v>13</v>
      </c>
      <c r="C16" s="9" t="n">
        <v>45.75</v>
      </c>
      <c r="D16" s="9" t="n">
        <v>45.9</v>
      </c>
      <c r="E16" s="9" t="n">
        <v>14.77</v>
      </c>
      <c r="F16" s="9" t="n">
        <f aca="false">'By architecture'!$E$16</f>
        <v>35.47</v>
      </c>
    </row>
    <row r="17" customFormat="false" ht="15" hidden="false" customHeight="false" outlineLevel="0" collapsed="false">
      <c r="A17" s="12" t="s">
        <v>17</v>
      </c>
      <c r="B17" s="12" t="s">
        <v>11</v>
      </c>
      <c r="C17" s="13" t="n">
        <v>68.18</v>
      </c>
      <c r="D17" s="13" t="n">
        <v>70.09</v>
      </c>
      <c r="E17" s="13" t="n">
        <v>58.41</v>
      </c>
      <c r="F17" s="13" t="n">
        <f aca="false">'By architecture'!$E$17</f>
        <v>65.56</v>
      </c>
    </row>
    <row r="18" customFormat="false" ht="15" hidden="false" customHeight="false" outlineLevel="0" collapsed="false">
      <c r="A18" s="12" t="s">
        <v>17</v>
      </c>
      <c r="B18" s="12" t="s">
        <v>12</v>
      </c>
      <c r="C18" s="13" t="n">
        <v>48.95</v>
      </c>
      <c r="D18" s="13" t="n">
        <v>53.51</v>
      </c>
      <c r="E18" s="13" t="n">
        <v>33.54</v>
      </c>
      <c r="F18" s="13" t="n">
        <f aca="false">'By architecture'!$E$18</f>
        <v>45.33</v>
      </c>
    </row>
    <row r="19" customFormat="false" ht="15" hidden="false" customHeight="false" outlineLevel="0" collapsed="false">
      <c r="A19" s="12" t="s">
        <v>17</v>
      </c>
      <c r="B19" s="12" t="s">
        <v>13</v>
      </c>
      <c r="C19" s="13" t="n">
        <v>40.24</v>
      </c>
      <c r="D19" s="13" t="n">
        <v>44.23</v>
      </c>
      <c r="E19" s="13" t="n">
        <v>20.74</v>
      </c>
      <c r="F19" s="13" t="n">
        <f aca="false">'By architecture'!$E$19</f>
        <v>35.07</v>
      </c>
    </row>
    <row r="21" customFormat="false" ht="15" hidden="false" customHeight="true" outlineLevel="0" collapsed="false">
      <c r="A21" s="16" t="s">
        <v>50</v>
      </c>
      <c r="B21" s="16"/>
      <c r="C21" s="16"/>
      <c r="D21" s="16"/>
      <c r="E21" s="16"/>
      <c r="F21" s="16"/>
    </row>
    <row r="22" customFormat="false" ht="15" hidden="false" customHeight="false" outlineLevel="0" collapsed="false">
      <c r="A22" s="16"/>
      <c r="B22" s="16"/>
      <c r="C22" s="16"/>
      <c r="D22" s="16"/>
      <c r="E22" s="16"/>
      <c r="F22" s="16"/>
    </row>
    <row r="23" customFormat="false" ht="15" hidden="false" customHeight="false" outlineLevel="0" collapsed="false">
      <c r="A23" s="16"/>
      <c r="B23" s="16"/>
      <c r="C23" s="16"/>
      <c r="D23" s="16"/>
      <c r="E23" s="16"/>
      <c r="F23" s="16"/>
    </row>
    <row r="24" customFormat="false" ht="15" hidden="false" customHeight="false" outlineLevel="0" collapsed="false">
      <c r="A24" s="16"/>
      <c r="B24" s="16"/>
      <c r="C24" s="16"/>
      <c r="D24" s="16"/>
      <c r="E24" s="16"/>
      <c r="F24" s="16"/>
    </row>
  </sheetData>
  <mergeCells count="3">
    <mergeCell ref="A1:F1"/>
    <mergeCell ref="A2:F2"/>
    <mergeCell ref="A21: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10"/>
    <col collapsed="false" customWidth="true" hidden="false" outlineLevel="0" max="4" min="4" style="0" width="9"/>
    <col collapsed="false" customWidth="true" hidden="false" outlineLevel="0" max="6" min="5" style="0" width="13"/>
    <col collapsed="false" customWidth="true" hidden="false" outlineLevel="0" max="7" min="7" style="0" width="15"/>
    <col collapsed="false" customWidth="true" hidden="false" outlineLevel="0" max="8" min="8" style="0" width="14"/>
    <col collapsed="false" customWidth="true" hidden="false" outlineLevel="0" max="9" min="9" style="0" width="17"/>
    <col collapsed="false" customWidth="true" hidden="false" outlineLevel="0" max="10" min="10" style="0" width="16"/>
    <col collapsed="false" customWidth="true" hidden="false" outlineLevel="0" max="11" min="11" style="0" width="19"/>
    <col collapsed="false" customWidth="true" hidden="false" outlineLevel="0" max="12" min="12" style="0" width="20"/>
    <col collapsed="false" customWidth="true" hidden="false" outlineLevel="0" max="13" min="13" style="0" width="15"/>
  </cols>
  <sheetData>
    <row r="1" customFormat="false" ht="17.35" hidden="false" customHeight="false" outlineLevel="0" collapsed="false">
      <c r="A1" s="1" t="s">
        <v>51</v>
      </c>
      <c r="B1" s="1"/>
      <c r="C1" s="1"/>
      <c r="D1" s="1"/>
      <c r="E1" s="1"/>
      <c r="F1" s="1"/>
      <c r="G1" s="1"/>
      <c r="H1" s="1"/>
      <c r="I1" s="1"/>
      <c r="J1" s="1"/>
    </row>
    <row r="2" customFormat="false" ht="15" hidden="false" customHeight="false" outlineLevel="0" collapsed="false">
      <c r="A2" s="2" t="s">
        <v>52</v>
      </c>
      <c r="B2" s="2"/>
      <c r="C2" s="2"/>
      <c r="D2" s="2"/>
      <c r="E2" s="2"/>
      <c r="F2" s="2"/>
      <c r="G2" s="2"/>
      <c r="H2" s="2"/>
      <c r="I2" s="2"/>
      <c r="J2" s="2"/>
    </row>
    <row r="4" customFormat="false" ht="15" hidden="false" customHeight="false" outlineLevel="0" collapsed="false">
      <c r="A4" s="3" t="s">
        <v>53</v>
      </c>
      <c r="B4" s="3" t="s">
        <v>54</v>
      </c>
      <c r="C4" s="3" t="s">
        <v>55</v>
      </c>
      <c r="D4" s="3" t="s">
        <v>56</v>
      </c>
      <c r="E4" s="3" t="s">
        <v>57</v>
      </c>
      <c r="F4" s="3" t="s">
        <v>58</v>
      </c>
      <c r="G4" s="3" t="s">
        <v>59</v>
      </c>
      <c r="H4" s="3" t="s">
        <v>60</v>
      </c>
      <c r="I4" s="3" t="s">
        <v>61</v>
      </c>
      <c r="J4" s="3" t="s">
        <v>62</v>
      </c>
      <c r="K4" s="3" t="s">
        <v>63</v>
      </c>
      <c r="L4" s="3" t="s">
        <v>64</v>
      </c>
      <c r="M4" s="3" t="s">
        <v>65</v>
      </c>
    </row>
    <row r="5" customFormat="false" ht="15" hidden="false" customHeight="false" outlineLevel="0" collapsed="false">
      <c r="A5" s="4" t="s">
        <v>11</v>
      </c>
      <c r="B5" s="7" t="n">
        <v>0</v>
      </c>
      <c r="C5" s="7" t="n">
        <v>4067</v>
      </c>
      <c r="D5" s="7" t="n">
        <v>1162</v>
      </c>
      <c r="E5" s="5" t="n">
        <v>66.01</v>
      </c>
      <c r="F5" s="5" t="n">
        <v>64.54</v>
      </c>
      <c r="G5" s="5" t="n">
        <v>39.76</v>
      </c>
      <c r="H5" s="5" t="n">
        <v>26.25</v>
      </c>
      <c r="I5" s="5" t="n">
        <v>51.2</v>
      </c>
      <c r="J5" s="5" t="n">
        <v>33.73</v>
      </c>
      <c r="K5" s="5" t="n">
        <v>93.78</v>
      </c>
      <c r="L5" s="5" t="n">
        <v>36.86</v>
      </c>
      <c r="M5" s="5" t="n">
        <v>3.4602</v>
      </c>
    </row>
    <row r="6" customFormat="false" ht="15" hidden="false" customHeight="false" outlineLevel="0" collapsed="false">
      <c r="A6" s="4" t="s">
        <v>11</v>
      </c>
      <c r="B6" s="7" t="n">
        <v>1</v>
      </c>
      <c r="C6" s="7" t="n">
        <v>4067</v>
      </c>
      <c r="D6" s="7" t="n">
        <v>1162</v>
      </c>
      <c r="E6" s="5" t="n">
        <v>66.61</v>
      </c>
      <c r="F6" s="5" t="n">
        <v>65.32</v>
      </c>
      <c r="G6" s="5" t="n">
        <v>39.76</v>
      </c>
      <c r="H6" s="5" t="n">
        <v>26.85</v>
      </c>
      <c r="I6" s="5" t="n">
        <v>50.09</v>
      </c>
      <c r="J6" s="5" t="n">
        <v>33.39</v>
      </c>
      <c r="K6" s="5" t="n">
        <v>93.64</v>
      </c>
      <c r="L6" s="5" t="n">
        <v>39.48</v>
      </c>
      <c r="M6" s="5" t="n">
        <v>3.4653</v>
      </c>
    </row>
    <row r="7" customFormat="false" ht="15" hidden="false" customHeight="false" outlineLevel="0" collapsed="false">
      <c r="A7" s="4" t="s">
        <v>11</v>
      </c>
      <c r="B7" s="7" t="n">
        <v>2</v>
      </c>
      <c r="C7" s="7" t="n">
        <v>4067</v>
      </c>
      <c r="D7" s="7" t="n">
        <v>1162</v>
      </c>
      <c r="E7" s="5" t="n">
        <v>68.07</v>
      </c>
      <c r="F7" s="5" t="n">
        <v>66.83</v>
      </c>
      <c r="G7" s="5" t="n">
        <v>39.76</v>
      </c>
      <c r="H7" s="5" t="n">
        <v>28.31</v>
      </c>
      <c r="I7" s="5" t="n">
        <v>52.58</v>
      </c>
      <c r="J7" s="5" t="n">
        <v>33.99</v>
      </c>
      <c r="K7" s="5" t="n">
        <v>93.29</v>
      </c>
      <c r="L7" s="5" t="n">
        <v>40.11</v>
      </c>
      <c r="M7" s="5" t="n">
        <v>3.4585</v>
      </c>
    </row>
    <row r="8" customFormat="false" ht="15" hidden="false" customHeight="false" outlineLevel="0" collapsed="false">
      <c r="A8" s="4" t="s">
        <v>12</v>
      </c>
      <c r="B8" s="7" t="n">
        <v>0</v>
      </c>
      <c r="C8" s="7" t="n">
        <v>4070</v>
      </c>
      <c r="D8" s="7" t="n">
        <v>1160</v>
      </c>
      <c r="E8" s="5" t="n">
        <v>45</v>
      </c>
      <c r="F8" s="5" t="n">
        <v>43.77</v>
      </c>
      <c r="G8" s="5" t="n">
        <v>39.66</v>
      </c>
      <c r="H8" s="5" t="n">
        <v>5.34</v>
      </c>
      <c r="I8" s="5" t="n">
        <v>22.16</v>
      </c>
      <c r="J8" s="5" t="n">
        <v>0</v>
      </c>
      <c r="K8" s="5" t="n">
        <v>77.82</v>
      </c>
      <c r="L8" s="5" t="n">
        <v>35.66</v>
      </c>
      <c r="M8" s="5" t="n">
        <v>3.7953</v>
      </c>
    </row>
    <row r="9" customFormat="false" ht="15" hidden="false" customHeight="false" outlineLevel="0" collapsed="false">
      <c r="A9" s="4" t="s">
        <v>12</v>
      </c>
      <c r="B9" s="7" t="n">
        <v>1</v>
      </c>
      <c r="C9" s="7" t="n">
        <v>4070</v>
      </c>
      <c r="D9" s="7" t="n">
        <v>1160</v>
      </c>
      <c r="E9" s="5" t="n">
        <v>48.53</v>
      </c>
      <c r="F9" s="5" t="n">
        <v>46.76</v>
      </c>
      <c r="G9" s="5" t="n">
        <v>39.66</v>
      </c>
      <c r="H9" s="5" t="n">
        <v>8.88</v>
      </c>
      <c r="I9" s="5" t="n">
        <v>23.79</v>
      </c>
      <c r="J9" s="5" t="n">
        <v>0</v>
      </c>
      <c r="K9" s="5" t="n">
        <v>78.99</v>
      </c>
      <c r="L9" s="5" t="n">
        <v>39.03</v>
      </c>
      <c r="M9" s="5" t="n">
        <v>3.8027</v>
      </c>
    </row>
    <row r="10" customFormat="false" ht="15" hidden="false" customHeight="false" outlineLevel="0" collapsed="false">
      <c r="A10" s="4" t="s">
        <v>12</v>
      </c>
      <c r="B10" s="7" t="n">
        <v>2</v>
      </c>
      <c r="C10" s="7" t="n">
        <v>4070</v>
      </c>
      <c r="D10" s="7" t="n">
        <v>1160</v>
      </c>
      <c r="E10" s="5" t="n">
        <v>48.45</v>
      </c>
      <c r="F10" s="5" t="n">
        <v>45.46</v>
      </c>
      <c r="G10" s="5" t="n">
        <v>39.66</v>
      </c>
      <c r="H10" s="5" t="n">
        <v>8.79</v>
      </c>
      <c r="I10" s="5" t="n">
        <v>21.12</v>
      </c>
      <c r="J10" s="5" t="n">
        <v>0</v>
      </c>
      <c r="K10" s="5" t="n">
        <v>84.08</v>
      </c>
      <c r="L10" s="5" t="n">
        <v>38.91</v>
      </c>
      <c r="M10" s="5" t="n">
        <v>3.7472</v>
      </c>
    </row>
    <row r="11" customFormat="false" ht="15" hidden="false" customHeight="false" outlineLevel="0" collapsed="false">
      <c r="A11" s="4" t="s">
        <v>13</v>
      </c>
      <c r="B11" s="7" t="n">
        <v>0</v>
      </c>
      <c r="C11" s="7" t="n">
        <v>4060</v>
      </c>
      <c r="D11" s="7" t="n">
        <v>1170</v>
      </c>
      <c r="E11" s="5" t="n">
        <v>38.55</v>
      </c>
      <c r="F11" s="5" t="n">
        <v>34.72</v>
      </c>
      <c r="G11" s="5" t="n">
        <v>40.17</v>
      </c>
      <c r="H11" s="5" t="n">
        <v>-1.62</v>
      </c>
      <c r="I11" s="5" t="n">
        <v>0</v>
      </c>
      <c r="J11" s="5" t="n">
        <v>0</v>
      </c>
      <c r="K11" s="19" t="s">
        <v>41</v>
      </c>
      <c r="L11" s="5" t="n">
        <v>38.55</v>
      </c>
      <c r="M11" s="5" t="n">
        <v>3.9174</v>
      </c>
    </row>
    <row r="12" customFormat="false" ht="15" hidden="false" customHeight="false" outlineLevel="0" collapsed="false">
      <c r="A12" s="4" t="s">
        <v>13</v>
      </c>
      <c r="B12" s="7" t="n">
        <v>1</v>
      </c>
      <c r="C12" s="7" t="n">
        <v>4090</v>
      </c>
      <c r="D12" s="7" t="n">
        <v>1140</v>
      </c>
      <c r="E12" s="5" t="n">
        <v>37.89</v>
      </c>
      <c r="F12" s="5" t="n">
        <v>34.84</v>
      </c>
      <c r="G12" s="5" t="n">
        <v>39.47</v>
      </c>
      <c r="H12" s="5" t="n">
        <v>-1.58</v>
      </c>
      <c r="I12" s="5" t="n">
        <v>0</v>
      </c>
      <c r="J12" s="5" t="n">
        <v>0</v>
      </c>
      <c r="K12" s="19" t="s">
        <v>41</v>
      </c>
      <c r="L12" s="5" t="n">
        <v>37.89</v>
      </c>
      <c r="M12" s="5" t="n">
        <v>3.8473</v>
      </c>
    </row>
    <row r="13" customFormat="false" ht="15" hidden="false" customHeight="false" outlineLevel="0" collapsed="false">
      <c r="A13" s="4" t="s">
        <v>13</v>
      </c>
      <c r="B13" s="7" t="n">
        <v>2</v>
      </c>
      <c r="C13" s="7" t="n">
        <v>4080</v>
      </c>
      <c r="D13" s="7" t="n">
        <v>1160</v>
      </c>
      <c r="E13" s="5" t="n">
        <v>37.59</v>
      </c>
      <c r="F13" s="5" t="n">
        <v>35.65</v>
      </c>
      <c r="G13" s="5" t="n">
        <v>39.66</v>
      </c>
      <c r="H13" s="5" t="n">
        <v>-2.07</v>
      </c>
      <c r="I13" s="5" t="n">
        <v>0</v>
      </c>
      <c r="J13" s="5" t="n">
        <v>0</v>
      </c>
      <c r="K13" s="19" t="s">
        <v>41</v>
      </c>
      <c r="L13" s="5" t="n">
        <v>37.59</v>
      </c>
      <c r="M13" s="5" t="n">
        <v>3.8625</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66</v>
      </c>
      <c r="B1" s="1"/>
    </row>
    <row r="3" customFormat="false" ht="45.75" hidden="false" customHeight="true" outlineLevel="0" collapsed="false">
      <c r="A3" s="20" t="s">
        <v>67</v>
      </c>
      <c r="B3" s="21" t="s">
        <v>68</v>
      </c>
    </row>
    <row r="4" customFormat="false" ht="45.75" hidden="false" customHeight="true" outlineLevel="0" collapsed="false">
      <c r="A4" s="20" t="s">
        <v>69</v>
      </c>
      <c r="B4" s="21" t="s">
        <v>70</v>
      </c>
    </row>
    <row r="5" customFormat="false" ht="45.75" hidden="false" customHeight="true" outlineLevel="0" collapsed="false">
      <c r="A5" s="20" t="s">
        <v>71</v>
      </c>
      <c r="B5" s="21" t="s">
        <v>72</v>
      </c>
    </row>
    <row r="6" customFormat="false" ht="45.75" hidden="false" customHeight="true" outlineLevel="0" collapsed="false">
      <c r="A6" s="20" t="s">
        <v>73</v>
      </c>
      <c r="B6" s="21" t="s">
        <v>74</v>
      </c>
    </row>
    <row r="7" customFormat="false" ht="45.75" hidden="false" customHeight="true" outlineLevel="0" collapsed="false">
      <c r="A7" s="20" t="s">
        <v>75</v>
      </c>
      <c r="B7" s="21" t="s">
        <v>76</v>
      </c>
    </row>
    <row r="8" customFormat="false" ht="45.75" hidden="false" customHeight="true" outlineLevel="0" collapsed="false">
      <c r="A8" s="20" t="s">
        <v>77</v>
      </c>
      <c r="B8" s="21" t="s">
        <v>78</v>
      </c>
    </row>
    <row r="9" customFormat="false" ht="45.75" hidden="false" customHeight="true" outlineLevel="0" collapsed="false">
      <c r="A9" s="20" t="s">
        <v>77</v>
      </c>
      <c r="B9" s="21" t="s">
        <v>79</v>
      </c>
    </row>
    <row r="10" customFormat="false" ht="45.75" hidden="false" customHeight="true" outlineLevel="0" collapsed="false">
      <c r="A10" s="20" t="s">
        <v>77</v>
      </c>
      <c r="B10" s="21" t="s">
        <v>80</v>
      </c>
    </row>
    <row r="11" customFormat="false" ht="45.75" hidden="false" customHeight="true" outlineLevel="0" collapsed="false">
      <c r="A11" s="20" t="s">
        <v>81</v>
      </c>
      <c r="B11" s="21" t="s">
        <v>82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2026-10-19T07:39:39Z</dcterms:created>
  <dc:creator>openpyxl</dc:creator>
  <dc:description/>
  <dc:language>en-US</dc:language>
  <cp:lastModifiedBy/>
  <dcterms:modified xsi:type="dcterms:W3CDTF">2026-10-19T07:39:39Z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